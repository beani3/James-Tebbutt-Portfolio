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ni Stuff\final-project\GAMR3540-Final-Project\"/>
    </mc:Choice>
  </mc:AlternateContent>
  <xr:revisionPtr revIDLastSave="0" documentId="13_ncr:1_{C55340CD-1AAF-4EBA-AAE8-C42DE37DA0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Backlog" sheetId="1" r:id="rId1"/>
    <sheet name="Velocity" sheetId="2" r:id="rId2"/>
    <sheet name="Continuous Testing" sheetId="3" r:id="rId3"/>
    <sheet name="Whitebox Testing" sheetId="4" r:id="rId4"/>
    <sheet name="Alignment Tabl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I4" i="4"/>
  <c r="I3" i="4"/>
  <c r="J4" i="4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G1" i="2"/>
  <c r="G2" i="2" s="1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N5" i="4" l="1"/>
  <c r="N4" i="4"/>
  <c r="N7" i="4"/>
  <c r="M7" i="4"/>
  <c r="N6" i="4"/>
  <c r="M4" i="4"/>
  <c r="M5" i="4"/>
  <c r="M6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<sst xmlns="http://schemas.openxmlformats.org/spreadsheetml/2006/main" count="290" uniqueCount="151">
  <si>
    <t>Set up Repo</t>
  </si>
  <si>
    <t>Implement window</t>
  </si>
  <si>
    <t>Implement graphics context</t>
  </si>
  <si>
    <t>Draw a quad</t>
  </si>
  <si>
    <t>Draw a quad with PVP</t>
  </si>
  <si>
    <t>Write renderer API</t>
  </si>
  <si>
    <t>Implement Renderer Dstor</t>
  </si>
  <si>
    <t>Implement Renderer Ctor Shader</t>
  </si>
  <si>
    <t>Implement Renderer Ctor SSBO</t>
  </si>
  <si>
    <t>Implement Renderer Ctor UBO</t>
  </si>
  <si>
    <t>Implement Renderer Ctor VAO</t>
  </si>
  <si>
    <t>Implement begin()</t>
  </si>
  <si>
    <t>Implement flush()</t>
  </si>
  <si>
    <t>Implement end()</t>
  </si>
  <si>
    <t>Implement quads and camera</t>
  </si>
  <si>
    <t>Implement scene</t>
  </si>
  <si>
    <t>Story Points</t>
  </si>
  <si>
    <t>Week</t>
  </si>
  <si>
    <t>SP</t>
  </si>
  <si>
    <t>SP Remaining</t>
  </si>
  <si>
    <t>Velocity</t>
  </si>
  <si>
    <t>Date</t>
  </si>
  <si>
    <t>Weeks</t>
  </si>
  <si>
    <t>Item</t>
  </si>
  <si>
    <t>Test case</t>
  </si>
  <si>
    <t>Passed?</t>
  </si>
  <si>
    <t>Notes</t>
  </si>
  <si>
    <t>Status</t>
  </si>
  <si>
    <t>Finished</t>
  </si>
  <si>
    <t>In Progress</t>
  </si>
  <si>
    <t>Not Started</t>
  </si>
  <si>
    <t>Draw a textured quad with PVP</t>
  </si>
  <si>
    <t>Pass</t>
  </si>
  <si>
    <t>Fail</t>
  </si>
  <si>
    <t>Does CompileShader() function work?</t>
  </si>
  <si>
    <t>Is texture handle carried over to GPU</t>
  </si>
  <si>
    <t>Does texture render correctly?</t>
  </si>
  <si>
    <t>Is texure being created properly using function rather than hard-coded?</t>
  </si>
  <si>
    <t>Is texture handle created properly with function rather than hard-coded?</t>
  </si>
  <si>
    <t>Do the render components hold correct data?</t>
  </si>
  <si>
    <t>Does the quad render when multiplied by view projection matrix?</t>
  </si>
  <si>
    <t>Does texure render when using flat int for multiple texture handles?</t>
  </si>
  <si>
    <t>Is Renderer called by the scene?</t>
  </si>
  <si>
    <t>Does renderer render textured quad?</t>
  </si>
  <si>
    <t>Is the renderer correctly initialised and rendering?</t>
  </si>
  <si>
    <t>Though a fail, its the desired outcome. No changes needed.</t>
  </si>
  <si>
    <t>Does the window open?</t>
  </si>
  <si>
    <t>Does the window close?</t>
  </si>
  <si>
    <t>Is there GLFW context</t>
  </si>
  <si>
    <t>Does a quad render?</t>
  </si>
  <si>
    <t>Renders but is entire screen and flickers. Change vertex datawhere function is being called.</t>
  </si>
  <si>
    <t>Quads rendering after adding index to vertex shader.</t>
  </si>
  <si>
    <t>Not working because its not taking into account multiple instances in vertex shader.</t>
  </si>
  <si>
    <t>Scene renderers with quad but still flickers.</t>
  </si>
  <si>
    <t>Correctly initialises and renders but currently only backgroud culour and flickers.</t>
  </si>
  <si>
    <t>No changes needed.</t>
  </si>
  <si>
    <t>Crashes with dereferencing error, need to investigate.</t>
  </si>
  <si>
    <t>Quad disappears after multiplying model by projection and view.</t>
  </si>
  <si>
    <t>Break point isn't triggered so may not be getting called correctly.</t>
  </si>
  <si>
    <t>Fixed issue with Uvs, texture now renders without issue.</t>
  </si>
  <si>
    <t>Texture renders but I think UVs are wrong.</t>
  </si>
  <si>
    <t>Texture handle wasn't being made resident.</t>
  </si>
  <si>
    <t>Doesn’t seem to ever read from SSBO containing texture handles.</t>
  </si>
  <si>
    <t>Thought it was, however my order was wrong. Change order and add cout to confirm.</t>
  </si>
  <si>
    <t>Does quad render with SSBOs?</t>
  </si>
  <si>
    <t>No errors but blank screen.</t>
  </si>
  <si>
    <t>Is the vertex data passed to GPU</t>
  </si>
  <si>
    <t>Does the quad render with SSBOs?</t>
  </si>
  <si>
    <t>Vertex struct needed padding as data was being read incorrectly due to std430 works.</t>
  </si>
  <si>
    <t>Are camera uniforms correctly setup?</t>
  </si>
  <si>
    <t>Was never multiplying the by the view projection matrix in vertex shader. Need to fix the matrix's.</t>
  </si>
  <si>
    <t>Is texture correctly created?</t>
  </si>
  <si>
    <t>Does textured quad renderer?</t>
  </si>
  <si>
    <t>Not sure why, need to investigate.</t>
  </si>
  <si>
    <t>Is onRender reading data from scene and rendering correctly?</t>
  </si>
  <si>
    <t>Are multiple quads rendering?</t>
  </si>
  <si>
    <t>Is the window resizeable?</t>
  </si>
  <si>
    <t>Does transform component rotate quad?</t>
  </si>
  <si>
    <t>Does transform component scale quad?</t>
  </si>
  <si>
    <t>Does transform component translate quad?</t>
  </si>
  <si>
    <t>Translation seems to never be updating in the transformation matrix.</t>
  </si>
  <si>
    <t>Had to manually construct the translation matrix but it all works.</t>
  </si>
  <si>
    <t>Quad rotates but seems to be sheering. Need to diagnose the problem.</t>
  </si>
  <si>
    <t>Do quads render when multiplied by vp matrix?</t>
  </si>
  <si>
    <t>x</t>
  </si>
  <si>
    <t>y</t>
  </si>
  <si>
    <t>th</t>
  </si>
  <si>
    <t>Test Case</t>
  </si>
  <si>
    <t>Evidence</t>
  </si>
  <si>
    <t>Expected Values</t>
  </si>
  <si>
    <t>Values on CPU</t>
  </si>
  <si>
    <t>Expected outcome (Pass/Fail)</t>
  </si>
  <si>
    <t>Actual Outcome</t>
  </si>
  <si>
    <t>Vertex positions match the calculated rotations</t>
  </si>
  <si>
    <t>5th Mar 2026</t>
  </si>
  <si>
    <t>9th Mar 2026</t>
  </si>
  <si>
    <t>26th Mar 2026</t>
  </si>
  <si>
    <t>2nd Apr 2026</t>
  </si>
  <si>
    <t>3rd Apr 2026</t>
  </si>
  <si>
    <t>9th Apr 2026</t>
  </si>
  <si>
    <t>10th Apr 2026</t>
  </si>
  <si>
    <t>21st  Apr 2026</t>
  </si>
  <si>
    <t>23rd Apr 2026</t>
  </si>
  <si>
    <t>27th Apr 2026</t>
  </si>
  <si>
    <t>28th Apr 2026</t>
  </si>
  <si>
    <t>29th Apr 2026</t>
  </si>
  <si>
    <t>6th May 2026</t>
  </si>
  <si>
    <t>11th May 2026</t>
  </si>
  <si>
    <t>13th May 2026</t>
  </si>
  <si>
    <t>14th May 2026</t>
  </si>
  <si>
    <t>Tasks for Renderer</t>
  </si>
  <si>
    <t>19th May 2026</t>
  </si>
  <si>
    <t>21st May 2026</t>
  </si>
  <si>
    <t>Renders but is currently multiplied by identity matrix which caused sheering.</t>
  </si>
  <si>
    <t>Renders as quads without sheering as projection matrix is now correctly implemented.</t>
  </si>
  <si>
    <t>Alignment of classes and structs - Renderer class</t>
  </si>
  <si>
    <t>Alignment of classes and structs - Vertex Struct</t>
  </si>
  <si>
    <t>Alignment of classes and structs - TextureDescription Struct</t>
  </si>
  <si>
    <t>Alignment of classes and structs - Camera Struct</t>
  </si>
  <si>
    <t>Alignment of classes and structs - InputSystem Class</t>
  </si>
  <si>
    <t>Alignment of classes and structs - WindowProperties Struct</t>
  </si>
  <si>
    <t>Renderer Whitebox Testing</t>
  </si>
  <si>
    <t>Alignment of classes and structs - Window Class</t>
  </si>
  <si>
    <t>Alignment of classes and structs - Application Class</t>
  </si>
  <si>
    <t>Alignment of classes and structs - RenderComponent Struct</t>
  </si>
  <si>
    <t>Alignment of classes and structs - TransformComponent Struct</t>
  </si>
  <si>
    <t>See alignment table for evidence.</t>
  </si>
  <si>
    <t>Class</t>
  </si>
  <si>
    <t>Struct</t>
  </si>
  <si>
    <t>Alignment</t>
  </si>
  <si>
    <t>Before</t>
  </si>
  <si>
    <t>After</t>
  </si>
  <si>
    <t>Renderer</t>
  </si>
  <si>
    <t>Vertex</t>
  </si>
  <si>
    <t>TextureDescription</t>
  </si>
  <si>
    <t>WindowProperties</t>
  </si>
  <si>
    <t>Window</t>
  </si>
  <si>
    <t>InputSystem</t>
  </si>
  <si>
    <t>Camera</t>
  </si>
  <si>
    <t>Application</t>
  </si>
  <si>
    <t>RenderComponent</t>
  </si>
  <si>
    <t>TransformComponent</t>
  </si>
  <si>
    <t>Already Aligned</t>
  </si>
  <si>
    <t>Needs Aligning</t>
  </si>
  <si>
    <t>29th May 2026</t>
  </si>
  <si>
    <t>Current UVs removed chequered pattern of testing texting. Only rendered flat colour. Fixed by hardcoding UVs and changing UV construction based on that.</t>
  </si>
  <si>
    <t>Does quad render correctly with fixed UV construction?</t>
  </si>
  <si>
    <t>Does renderer construct quad UVs correctly?</t>
  </si>
  <si>
    <t>Rendered upside down due to incorrect winding order.</t>
  </si>
  <si>
    <t>Does quad render correctly with correct winding order?</t>
  </si>
  <si>
    <t>30th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</si>
</sst>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5">
    <xf numFmtId="0" fontId="0" fillId="0" borderId="0" xfId="0"/>
    <xf numFmtId="0" fontId="1" fillId="2" borderId="0" xfId="1"/>
    <xf numFmtId="0" fontId="0" fillId="0" borderId="2" xfId="0" applyBorder="1"/>
    <xf numFmtId="0" fontId="0" fillId="0" borderId="3" xfId="0" applyBorder="1"/>
    <xf numFmtId="0" fontId="0" fillId="0" borderId="1" xfId="0" applyBorder="1"/>
    <xf numFmtId="14" fontId="0" fillId="0" borderId="1" xfId="0" applyNumberFormat="1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1" xfId="0" applyFont="1" applyBorder="1"/>
    <xf numFmtId="0" fontId="2" fillId="3" borderId="0" xfId="2"/>
    <xf numFmtId="0" fontId="3" fillId="4" borderId="0" xfId="3"/>
    <xf numFmtId="0" fontId="1" fillId="2" borderId="1" xfId="1" applyBorder="1"/>
    <xf numFmtId="0" fontId="2" fillId="3" borderId="1" xfId="2" applyBorder="1"/>
    <xf numFmtId="0" fontId="1" fillId="2" borderId="3" xfId="1" applyBorder="1"/>
    <xf numFmtId="0" fontId="2" fillId="3" borderId="3" xfId="2" applyBorder="1"/>
    <xf numFmtId="0" fontId="5" fillId="0" borderId="3" xfId="0" applyFont="1" applyBorder="1"/>
    <xf numFmtId="0" fontId="0" fillId="0" borderId="5" xfId="0" applyBorder="1"/>
    <xf numFmtId="0" fontId="5" fillId="0" borderId="1" xfId="0" applyFont="1" applyBorder="1"/>
    <xf numFmtId="14" fontId="0" fillId="0" borderId="3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5" xfId="0" applyFont="1" applyBorder="1"/>
    <xf numFmtId="14" fontId="0" fillId="0" borderId="6" xfId="0" applyNumberFormat="1" applyBorder="1"/>
    <xf numFmtId="0" fontId="5" fillId="0" borderId="7" xfId="0" applyFont="1" applyBorder="1"/>
    <xf numFmtId="0" fontId="0" fillId="0" borderId="8" xfId="0" applyBorder="1"/>
    <xf numFmtId="0" fontId="0" fillId="0" borderId="10" xfId="0" applyBorder="1"/>
    <xf numFmtId="0" fontId="1" fillId="2" borderId="10" xfId="1" applyBorder="1"/>
    <xf numFmtId="0" fontId="0" fillId="5" borderId="11" xfId="0" applyFill="1" applyBorder="1"/>
    <xf numFmtId="0" fontId="0" fillId="5" borderId="6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4" fillId="0" borderId="0" xfId="0" applyFont="1"/>
    <xf numFmtId="0" fontId="0" fillId="5" borderId="1" xfId="0" applyFill="1" applyBorder="1"/>
    <xf numFmtId="0" fontId="0" fillId="0" borderId="7" xfId="0" applyBorder="1"/>
    <xf numFmtId="0" fontId="1" fillId="2" borderId="7" xfId="1" applyBorder="1"/>
    <xf numFmtId="0" fontId="0" fillId="0" borderId="12" xfId="0" applyBorder="1"/>
    <xf numFmtId="0" fontId="1" fillId="2" borderId="11" xfId="1" applyBorder="1"/>
    <xf numFmtId="0" fontId="1" fillId="2" borderId="5" xfId="1" applyBorder="1"/>
    <xf numFmtId="0" fontId="2" fillId="3" borderId="5" xfId="2" applyBorder="1"/>
    <xf numFmtId="0" fontId="0" fillId="5" borderId="2" xfId="0" applyFill="1" applyBorder="1"/>
    <xf numFmtId="0" fontId="4" fillId="0" borderId="4" xfId="0" applyFont="1" applyBorder="1"/>
    <xf numFmtId="0" fontId="4" fillId="0" borderId="9" xfId="0" applyFont="1" applyBorder="1"/>
    <xf numFmtId="0" fontId="4" fillId="0" borderId="14" xfId="0" applyFont="1" applyBorder="1"/>
    <xf numFmtId="0" fontId="0" fillId="0" borderId="5" xfId="0" applyBorder="1" applyAlignment="1">
      <alignment vertical="top"/>
    </xf>
    <xf numFmtId="0" fontId="0" fillId="5" borderId="7" xfId="0" applyFill="1" applyBorder="1" applyAlignment="1">
      <alignment vertical="top"/>
    </xf>
    <xf numFmtId="0" fontId="1" fillId="2" borderId="7" xfId="1" applyBorder="1" applyAlignment="1">
      <alignment vertical="top"/>
    </xf>
    <xf numFmtId="0" fontId="0" fillId="5" borderId="5" xfId="0" applyFill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7" xfId="2" applyBorder="1" applyAlignment="1">
      <alignment vertical="top"/>
    </xf>
    <xf numFmtId="0" fontId="0" fillId="5" borderId="11" xfId="0" applyFill="1" applyBorder="1" applyAlignment="1">
      <alignment vertical="top"/>
    </xf>
    <xf numFmtId="0" fontId="0" fillId="0" borderId="10" xfId="0" applyBorder="1" applyAlignment="1">
      <alignment vertical="top"/>
    </xf>
    <xf numFmtId="0" fontId="1" fillId="2" borderId="10" xfId="1" applyBorder="1" applyAlignment="1">
      <alignment vertical="top"/>
    </xf>
    <xf numFmtId="0" fontId="0" fillId="0" borderId="13" xfId="0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3" borderId="1" xfId="2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Rotated</a:t>
            </a:r>
            <a:r>
              <a:rPr lang="en-GB" baseline="0"/>
              <a:t> Quad Visualisation</a:t>
            </a:r>
            <a:endParaRPr lang="en-GB"/>
          </a:p>
        </c:rich>
      </c:tx>
      <c:layout>
        <c:manualLayout>
          <c:xMode val="edge"/>
          <c:yMode val="edge"/>
          <c:x val="4.0266475781436419E-2"/>
          <c:y val="3.1128404669260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'Whitebox Testing'!$M$4:$M$7</c:f>
              <c:numCache>
                <c:formatCode>General</c:formatCode>
                <c:ptCount val="4"/>
                <c:pt idx="0">
                  <c:v>-0.26516504294495535</c:v>
                </c:pt>
                <c:pt idx="1">
                  <c:v>1.7677669529663681E-2</c:v>
                </c:pt>
                <c:pt idx="2">
                  <c:v>-1.7677669529663681E-2</c:v>
                </c:pt>
                <c:pt idx="3">
                  <c:v>0.26516504294495535</c:v>
                </c:pt>
              </c:numCache>
            </c:numRef>
          </c:xVal>
          <c:yVal>
            <c:numRef>
              <c:f>'Whitebox Testing'!$N$4:$N$7</c:f>
              <c:numCache>
                <c:formatCode>General</c:formatCode>
                <c:ptCount val="4"/>
                <c:pt idx="0">
                  <c:v>-1.7677669529663737E-2</c:v>
                </c:pt>
                <c:pt idx="1">
                  <c:v>0.26516504294495535</c:v>
                </c:pt>
                <c:pt idx="2">
                  <c:v>-0.26516504294495535</c:v>
                </c:pt>
                <c:pt idx="3">
                  <c:v>1.7677669529663737E-2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6-48D3-A28B-BC4B3E53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883567"/>
        <c:axId val="793705727"/>
      </c:scatterChart>
      <c:valAx>
        <c:axId val="755883567"/>
        <c:scaling>
          <c:orientation val="minMax"/>
          <c:max val="0.4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05727"/>
        <c:crosses val="autoZero"/>
        <c:crossBetween val="midCat"/>
      </c:valAx>
      <c:valAx>
        <c:axId val="793705727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8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220133</xdr:colOff>
      <xdr:row>2</xdr:row>
      <xdr:rowOff>94192</xdr:rowOff>
    </xdr:from>
    <xdr:to>
      <xdr:col>20</xdr:col>
      <xdr:colOff>401108</xdr:colOff>
      <xdr:row>15</xdr:row>
      <xdr:rowOff>65617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16CDB-4C68-C444-28F7-3D33BB598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20" sqref="C20"/>
    </sheetView>
  </sheetViews>
  <sheetFormatPr defaultRowHeight="15" x14ac:dyDescent="0.25"/>
  <cols>
    <col min="1" max="1" width="82.28515625" customWidth="1"/>
    <col min="2" max="2" width="11.5703125" bestFit="1" customWidth="1"/>
    <col min="3" max="3" width="11.42578125" bestFit="1" customWidth="1"/>
    <col min="5" max="5" width="11.140625" bestFit="1" customWidth="1"/>
  </cols>
  <sheetData>
    <row r="1" spans="1:5" x14ac:dyDescent="0.25">
      <c r="A1" s="8" t="s">
        <v>110</v>
      </c>
      <c r="B1" s="8" t="s">
        <v>16</v>
      </c>
      <c r="C1" s="7" t="s">
        <v>27</v>
      </c>
      <c r="E1" s="1" t="s">
        <v>28</v>
      </c>
    </row>
    <row r="2" spans="1:5" x14ac:dyDescent="0.25">
      <c r="A2" s="4" t="s">
        <v>0</v>
      </c>
      <c r="B2" s="4">
        <v>5</v>
      </c>
      <c r="C2" s="11"/>
      <c r="E2" s="10" t="s">
        <v>29</v>
      </c>
    </row>
    <row r="3" spans="1:5" x14ac:dyDescent="0.25">
      <c r="A3" s="4" t="s">
        <v>1</v>
      </c>
      <c r="B3" s="4">
        <v>30</v>
      </c>
      <c r="C3" s="11"/>
      <c r="E3" s="9" t="s">
        <v>30</v>
      </c>
    </row>
    <row r="4" spans="1:5" x14ac:dyDescent="0.25">
      <c r="A4" s="4" t="s">
        <v>2</v>
      </c>
      <c r="B4" s="4">
        <v>5</v>
      </c>
      <c r="C4" s="11"/>
    </row>
    <row r="5" spans="1:5" x14ac:dyDescent="0.25">
      <c r="A5" s="4" t="s">
        <v>3</v>
      </c>
      <c r="B5" s="4">
        <v>7</v>
      </c>
      <c r="C5" s="11"/>
    </row>
    <row r="6" spans="1:5" x14ac:dyDescent="0.25">
      <c r="A6" s="4" t="s">
        <v>4</v>
      </c>
      <c r="B6" s="4">
        <v>15</v>
      </c>
      <c r="C6" s="11"/>
    </row>
    <row r="7" spans="1:5" x14ac:dyDescent="0.25">
      <c r="A7" s="4" t="s">
        <v>31</v>
      </c>
      <c r="B7" s="4">
        <v>12</v>
      </c>
      <c r="C7" s="11"/>
    </row>
    <row r="8" spans="1:5" x14ac:dyDescent="0.25">
      <c r="A8" s="4" t="s">
        <v>14</v>
      </c>
      <c r="B8" s="4">
        <v>4</v>
      </c>
      <c r="C8" s="11"/>
    </row>
    <row r="9" spans="1:5" x14ac:dyDescent="0.25">
      <c r="A9" s="4" t="s">
        <v>15</v>
      </c>
      <c r="B9" s="4">
        <v>50</v>
      </c>
      <c r="C9" s="1"/>
    </row>
    <row r="10" spans="1:5" x14ac:dyDescent="0.25">
      <c r="A10" s="4" t="s">
        <v>5</v>
      </c>
      <c r="B10" s="4">
        <v>3</v>
      </c>
      <c r="C10" s="11"/>
    </row>
    <row r="11" spans="1:5" x14ac:dyDescent="0.25">
      <c r="A11" s="4" t="s">
        <v>7</v>
      </c>
      <c r="B11" s="4">
        <v>10</v>
      </c>
      <c r="C11" s="11"/>
    </row>
    <row r="12" spans="1:5" x14ac:dyDescent="0.25">
      <c r="A12" s="4" t="s">
        <v>8</v>
      </c>
      <c r="B12" s="4">
        <v>9</v>
      </c>
      <c r="C12" s="11"/>
    </row>
    <row r="13" spans="1:5" x14ac:dyDescent="0.25">
      <c r="A13" s="4" t="s">
        <v>9</v>
      </c>
      <c r="B13" s="4">
        <v>9</v>
      </c>
      <c r="C13" s="11"/>
    </row>
    <row r="14" spans="1:5" x14ac:dyDescent="0.25">
      <c r="A14" s="4" t="s">
        <v>10</v>
      </c>
      <c r="B14" s="4">
        <v>9</v>
      </c>
      <c r="C14" s="11"/>
    </row>
    <row r="15" spans="1:5" x14ac:dyDescent="0.25">
      <c r="A15" s="4" t="s">
        <v>6</v>
      </c>
      <c r="B15" s="4">
        <v>3</v>
      </c>
      <c r="C15" s="11"/>
    </row>
    <row r="16" spans="1:5" x14ac:dyDescent="0.25">
      <c r="A16" s="4" t="s">
        <v>11</v>
      </c>
      <c r="B16" s="4">
        <v>25</v>
      </c>
      <c r="C16" s="11"/>
    </row>
    <row r="17" spans="1:3" x14ac:dyDescent="0.25">
      <c r="A17" s="4" t="s">
        <v>12</v>
      </c>
      <c r="B17" s="4">
        <v>25</v>
      </c>
      <c r="C17" s="11"/>
    </row>
    <row r="18" spans="1:3" x14ac:dyDescent="0.25">
      <c r="A18" s="4" t="s">
        <v>13</v>
      </c>
      <c r="B18" s="4">
        <v>10</v>
      </c>
      <c r="C18" s="11"/>
    </row>
    <row r="20" spans="1:3" x14ac:dyDescent="0.25">
      <c r="A20" s="33"/>
      <c r="B20" s="33"/>
      <c r="C20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414F-21C5-40E2-B21D-325E0CF13DCE}">
  <dimension ref="A1:G15"/>
  <sheetViews>
    <sheetView workbookViewId="0">
      <selection activeCell="I21" sqref="I21"/>
    </sheetView>
  </sheetViews>
  <sheetFormatPr defaultRowHeight="15" x14ac:dyDescent="0.25"/>
  <cols>
    <col min="1" max="1" width="10.7109375" bestFit="1" customWidth="1"/>
    <col min="4" max="4" width="13.140625" bestFit="1" customWidth="1"/>
  </cols>
  <sheetData>
    <row r="1" spans="1:7" x14ac:dyDescent="0.25">
      <c r="A1" s="6" t="s">
        <v>21</v>
      </c>
      <c r="B1" s="6" t="s">
        <v>17</v>
      </c>
      <c r="C1" s="6" t="s">
        <v>18</v>
      </c>
      <c r="D1" s="6" t="s">
        <v>19</v>
      </c>
      <c r="F1" s="7" t="s">
        <v>20</v>
      </c>
      <c r="G1" s="3">
        <f>AVERAGEA(C2:C15)</f>
        <v>21</v>
      </c>
    </row>
    <row r="2" spans="1:7" x14ac:dyDescent="0.25">
      <c r="A2" s="5">
        <v>46079</v>
      </c>
      <c r="B2" s="4">
        <v>-7</v>
      </c>
      <c r="C2" s="4">
        <v>5</v>
      </c>
      <c r="D2" s="4">
        <f>SUM('Project Backlog'!B2:B108)-C2</f>
        <v>226</v>
      </c>
      <c r="F2" s="8" t="s">
        <v>22</v>
      </c>
      <c r="G2" s="4">
        <f>SUM('Project Backlog'!B2:B108)/G1</f>
        <v>11</v>
      </c>
    </row>
    <row r="3" spans="1:7" x14ac:dyDescent="0.25">
      <c r="A3" s="5">
        <f>A2+7</f>
        <v>46086</v>
      </c>
      <c r="B3" s="4">
        <v>-6</v>
      </c>
      <c r="C3" s="4">
        <v>35</v>
      </c>
      <c r="D3" s="4">
        <f>D2-C3</f>
        <v>191</v>
      </c>
    </row>
    <row r="4" spans="1:7" x14ac:dyDescent="0.25">
      <c r="A4" s="5">
        <f t="shared" ref="A4:A15" si="0">A3+7</f>
        <v>46093</v>
      </c>
      <c r="B4" s="4">
        <v>-5</v>
      </c>
      <c r="C4" s="4">
        <v>0</v>
      </c>
      <c r="D4" s="4">
        <f t="shared" ref="D4:D15" si="1">D3-C4</f>
        <v>191</v>
      </c>
    </row>
    <row r="5" spans="1:7" x14ac:dyDescent="0.25">
      <c r="A5" s="5">
        <f t="shared" si="0"/>
        <v>46100</v>
      </c>
      <c r="B5" s="4">
        <v>-4</v>
      </c>
      <c r="C5" s="4">
        <v>0</v>
      </c>
      <c r="D5" s="4">
        <f t="shared" si="1"/>
        <v>191</v>
      </c>
    </row>
    <row r="6" spans="1:7" x14ac:dyDescent="0.25">
      <c r="A6" s="5">
        <f t="shared" si="0"/>
        <v>46107</v>
      </c>
      <c r="B6" s="4">
        <v>-3</v>
      </c>
      <c r="C6" s="4">
        <v>7</v>
      </c>
      <c r="D6" s="4">
        <f t="shared" si="1"/>
        <v>184</v>
      </c>
    </row>
    <row r="7" spans="1:7" x14ac:dyDescent="0.25">
      <c r="A7" s="5">
        <f t="shared" si="0"/>
        <v>46114</v>
      </c>
      <c r="B7" s="4">
        <v>-2</v>
      </c>
      <c r="C7" s="4">
        <v>18</v>
      </c>
      <c r="D7" s="4">
        <f t="shared" si="1"/>
        <v>166</v>
      </c>
    </row>
    <row r="8" spans="1:7" x14ac:dyDescent="0.25">
      <c r="A8" s="5">
        <f t="shared" si="0"/>
        <v>46121</v>
      </c>
      <c r="B8" s="4">
        <v>-1</v>
      </c>
      <c r="C8" s="4">
        <v>0</v>
      </c>
      <c r="D8" s="4">
        <f t="shared" si="1"/>
        <v>166</v>
      </c>
    </row>
    <row r="9" spans="1:7" x14ac:dyDescent="0.25">
      <c r="A9" s="5">
        <f t="shared" si="0"/>
        <v>46128</v>
      </c>
      <c r="B9" s="4">
        <v>0</v>
      </c>
      <c r="C9" s="4">
        <v>10</v>
      </c>
      <c r="D9" s="4">
        <f t="shared" si="1"/>
        <v>156</v>
      </c>
    </row>
    <row r="10" spans="1:7" x14ac:dyDescent="0.25">
      <c r="A10" s="5">
        <f t="shared" si="0"/>
        <v>46135</v>
      </c>
      <c r="B10" s="4">
        <v>1</v>
      </c>
      <c r="C10" s="4">
        <v>12</v>
      </c>
      <c r="D10" s="4">
        <f t="shared" si="1"/>
        <v>144</v>
      </c>
    </row>
    <row r="11" spans="1:7" x14ac:dyDescent="0.25">
      <c r="A11" s="5">
        <f t="shared" si="0"/>
        <v>46142</v>
      </c>
      <c r="B11" s="4">
        <v>2</v>
      </c>
      <c r="C11" s="4">
        <v>137</v>
      </c>
      <c r="D11" s="4">
        <f t="shared" si="1"/>
        <v>7</v>
      </c>
    </row>
    <row r="12" spans="1:7" x14ac:dyDescent="0.25">
      <c r="A12" s="5">
        <f t="shared" si="0"/>
        <v>46149</v>
      </c>
      <c r="B12" s="4">
        <v>3</v>
      </c>
      <c r="C12" s="4">
        <v>7</v>
      </c>
      <c r="D12" s="4">
        <f t="shared" si="1"/>
        <v>0</v>
      </c>
    </row>
    <row r="13" spans="1:7" x14ac:dyDescent="0.25">
      <c r="A13" s="5">
        <f t="shared" si="0"/>
        <v>46156</v>
      </c>
      <c r="B13" s="4">
        <v>4</v>
      </c>
      <c r="C13" s="34"/>
      <c r="D13" s="4">
        <f t="shared" si="1"/>
        <v>0</v>
      </c>
    </row>
    <row r="14" spans="1:7" x14ac:dyDescent="0.25">
      <c r="A14" s="5">
        <f t="shared" si="0"/>
        <v>46163</v>
      </c>
      <c r="B14" s="4">
        <v>5</v>
      </c>
      <c r="C14" s="34"/>
      <c r="D14" s="4">
        <f t="shared" si="1"/>
        <v>0</v>
      </c>
    </row>
    <row r="15" spans="1:7" x14ac:dyDescent="0.25">
      <c r="A15" s="5">
        <f t="shared" si="0"/>
        <v>46170</v>
      </c>
      <c r="B15" s="4">
        <v>6</v>
      </c>
      <c r="C15" s="34"/>
      <c r="D15" s="4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DF20-2232-4F45-BA12-D0E3752546DB}">
  <dimension ref="A1:E113"/>
  <sheetViews>
    <sheetView zoomScale="90" zoomScaleNormal="90" workbookViewId="0">
      <selection activeCell="H21" sqref="H21"/>
    </sheetView>
  </sheetViews>
  <sheetFormatPr defaultRowHeight="15" x14ac:dyDescent="0.25"/>
  <cols>
    <col min="1" max="1" width="14.28515625" bestFit="1" customWidth="1"/>
    <col min="2" max="2" width="30.85546875" customWidth="1"/>
    <col min="3" max="3" width="66" bestFit="1" customWidth="1"/>
    <col min="5" max="5" width="90.42578125" bestFit="1" customWidth="1"/>
  </cols>
  <sheetData>
    <row r="1" spans="1:5" x14ac:dyDescent="0.25">
      <c r="A1" s="3" t="s">
        <v>21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5" x14ac:dyDescent="0.25">
      <c r="A2" s="18" t="s">
        <v>94</v>
      </c>
      <c r="B2" s="4" t="s">
        <v>1</v>
      </c>
      <c r="C2" s="3" t="s">
        <v>46</v>
      </c>
      <c r="D2" s="13" t="s">
        <v>32</v>
      </c>
      <c r="E2" s="3" t="s">
        <v>55</v>
      </c>
    </row>
    <row r="3" spans="1:5" x14ac:dyDescent="0.25">
      <c r="A3" s="18"/>
      <c r="B3" s="4" t="s">
        <v>1</v>
      </c>
      <c r="C3" s="3" t="s">
        <v>47</v>
      </c>
      <c r="D3" s="13" t="s">
        <v>32</v>
      </c>
      <c r="E3" s="3" t="s">
        <v>55</v>
      </c>
    </row>
    <row r="4" spans="1:5" x14ac:dyDescent="0.25">
      <c r="A4" s="18" t="s">
        <v>95</v>
      </c>
      <c r="B4" s="4" t="s">
        <v>2</v>
      </c>
      <c r="C4" s="3" t="s">
        <v>48</v>
      </c>
      <c r="D4" s="14" t="s">
        <v>33</v>
      </c>
      <c r="E4" s="3" t="s">
        <v>63</v>
      </c>
    </row>
    <row r="5" spans="1:5" x14ac:dyDescent="0.25">
      <c r="A5" s="18"/>
      <c r="B5" s="4" t="s">
        <v>2</v>
      </c>
      <c r="C5" s="3" t="s">
        <v>48</v>
      </c>
      <c r="D5" s="13" t="s">
        <v>32</v>
      </c>
      <c r="E5" s="3" t="s">
        <v>55</v>
      </c>
    </row>
    <row r="6" spans="1:5" x14ac:dyDescent="0.25">
      <c r="A6" s="18" t="s">
        <v>96</v>
      </c>
      <c r="B6" s="4" t="s">
        <v>3</v>
      </c>
      <c r="C6" s="3" t="s">
        <v>49</v>
      </c>
      <c r="D6" s="13" t="s">
        <v>32</v>
      </c>
      <c r="E6" s="3" t="s">
        <v>50</v>
      </c>
    </row>
    <row r="7" spans="1:5" x14ac:dyDescent="0.25">
      <c r="A7" s="18"/>
      <c r="B7" s="4" t="s">
        <v>3</v>
      </c>
      <c r="C7" s="3" t="s">
        <v>49</v>
      </c>
      <c r="D7" s="13" t="s">
        <v>32</v>
      </c>
      <c r="E7" s="3" t="s">
        <v>55</v>
      </c>
    </row>
    <row r="8" spans="1:5" x14ac:dyDescent="0.25">
      <c r="A8" s="18" t="s">
        <v>97</v>
      </c>
      <c r="B8" s="4" t="s">
        <v>4</v>
      </c>
      <c r="C8" s="3" t="s">
        <v>64</v>
      </c>
      <c r="D8" s="14" t="s">
        <v>33</v>
      </c>
      <c r="E8" s="3" t="s">
        <v>65</v>
      </c>
    </row>
    <row r="9" spans="1:5" x14ac:dyDescent="0.25">
      <c r="A9" s="18"/>
      <c r="B9" s="4" t="s">
        <v>4</v>
      </c>
      <c r="C9" s="3" t="s">
        <v>66</v>
      </c>
      <c r="D9" s="13" t="s">
        <v>32</v>
      </c>
      <c r="E9" s="3" t="s">
        <v>55</v>
      </c>
    </row>
    <row r="10" spans="1:5" x14ac:dyDescent="0.25">
      <c r="A10" s="18"/>
      <c r="B10" s="4" t="s">
        <v>4</v>
      </c>
      <c r="C10" s="3" t="s">
        <v>67</v>
      </c>
      <c r="D10" s="13" t="s">
        <v>32</v>
      </c>
      <c r="E10" s="3" t="s">
        <v>68</v>
      </c>
    </row>
    <row r="11" spans="1:5" x14ac:dyDescent="0.25">
      <c r="A11" s="18" t="s">
        <v>98</v>
      </c>
      <c r="B11" s="4" t="s">
        <v>14</v>
      </c>
      <c r="C11" s="3" t="s">
        <v>69</v>
      </c>
      <c r="D11" s="13" t="s">
        <v>32</v>
      </c>
      <c r="E11" s="3" t="s">
        <v>55</v>
      </c>
    </row>
    <row r="12" spans="1:5" x14ac:dyDescent="0.25">
      <c r="A12" s="18"/>
      <c r="B12" s="4" t="s">
        <v>14</v>
      </c>
      <c r="C12" s="3" t="s">
        <v>69</v>
      </c>
      <c r="D12" s="14" t="s">
        <v>33</v>
      </c>
      <c r="E12" s="3" t="s">
        <v>70</v>
      </c>
    </row>
    <row r="13" spans="1:5" x14ac:dyDescent="0.25">
      <c r="A13" s="18" t="s">
        <v>99</v>
      </c>
      <c r="B13" s="4" t="s">
        <v>31</v>
      </c>
      <c r="C13" s="3" t="s">
        <v>71</v>
      </c>
      <c r="D13" s="13" t="s">
        <v>32</v>
      </c>
      <c r="E13" s="3" t="s">
        <v>55</v>
      </c>
    </row>
    <row r="14" spans="1:5" x14ac:dyDescent="0.25">
      <c r="A14" s="18" t="s">
        <v>100</v>
      </c>
      <c r="B14" s="4" t="s">
        <v>31</v>
      </c>
      <c r="C14" s="3" t="s">
        <v>72</v>
      </c>
      <c r="D14" s="14" t="s">
        <v>32</v>
      </c>
      <c r="E14" s="3" t="s">
        <v>73</v>
      </c>
    </row>
    <row r="15" spans="1:5" x14ac:dyDescent="0.25">
      <c r="A15" s="19" t="s">
        <v>101</v>
      </c>
      <c r="B15" s="4" t="s">
        <v>7</v>
      </c>
      <c r="C15" s="4" t="s">
        <v>34</v>
      </c>
      <c r="D15" s="11" t="s">
        <v>32</v>
      </c>
      <c r="E15" s="4" t="s">
        <v>55</v>
      </c>
    </row>
    <row r="16" spans="1:5" x14ac:dyDescent="0.25">
      <c r="A16" s="19"/>
      <c r="B16" s="4" t="s">
        <v>31</v>
      </c>
      <c r="C16" s="4" t="s">
        <v>35</v>
      </c>
      <c r="D16" s="12" t="s">
        <v>33</v>
      </c>
      <c r="E16" s="4" t="s">
        <v>62</v>
      </c>
    </row>
    <row r="17" spans="1:5" x14ac:dyDescent="0.25">
      <c r="A17" s="19" t="s">
        <v>102</v>
      </c>
      <c r="B17" s="4" t="s">
        <v>31</v>
      </c>
      <c r="C17" s="4" t="s">
        <v>35</v>
      </c>
      <c r="D17" s="11" t="s">
        <v>32</v>
      </c>
      <c r="E17" s="4" t="s">
        <v>61</v>
      </c>
    </row>
    <row r="18" spans="1:5" x14ac:dyDescent="0.25">
      <c r="A18" s="19"/>
      <c r="B18" s="4" t="s">
        <v>31</v>
      </c>
      <c r="C18" s="4" t="s">
        <v>36</v>
      </c>
      <c r="D18" s="12" t="s">
        <v>33</v>
      </c>
      <c r="E18" s="4" t="s">
        <v>60</v>
      </c>
    </row>
    <row r="19" spans="1:5" x14ac:dyDescent="0.25">
      <c r="A19" s="19"/>
      <c r="B19" s="4" t="s">
        <v>31</v>
      </c>
      <c r="C19" s="4" t="s">
        <v>36</v>
      </c>
      <c r="D19" s="11" t="s">
        <v>32</v>
      </c>
      <c r="E19" s="4" t="s">
        <v>59</v>
      </c>
    </row>
    <row r="20" spans="1:5" x14ac:dyDescent="0.25">
      <c r="A20" s="19" t="s">
        <v>103</v>
      </c>
      <c r="B20" s="4" t="s">
        <v>31</v>
      </c>
      <c r="C20" s="4" t="s">
        <v>37</v>
      </c>
      <c r="D20" s="11" t="s">
        <v>32</v>
      </c>
      <c r="E20" s="4" t="s">
        <v>55</v>
      </c>
    </row>
    <row r="21" spans="1:5" x14ac:dyDescent="0.25">
      <c r="A21" s="19"/>
      <c r="B21" s="4" t="s">
        <v>31</v>
      </c>
      <c r="C21" s="4" t="s">
        <v>38</v>
      </c>
      <c r="D21" s="11" t="s">
        <v>32</v>
      </c>
      <c r="E21" s="4" t="s">
        <v>55</v>
      </c>
    </row>
    <row r="22" spans="1:5" x14ac:dyDescent="0.25">
      <c r="A22" s="19"/>
      <c r="B22" s="4" t="s">
        <v>15</v>
      </c>
      <c r="C22" s="4" t="s">
        <v>39</v>
      </c>
      <c r="D22" s="12" t="s">
        <v>33</v>
      </c>
      <c r="E22" s="4" t="s">
        <v>58</v>
      </c>
    </row>
    <row r="23" spans="1:5" x14ac:dyDescent="0.25">
      <c r="A23" s="19" t="s">
        <v>104</v>
      </c>
      <c r="B23" s="4" t="s">
        <v>14</v>
      </c>
      <c r="C23" s="4" t="s">
        <v>40</v>
      </c>
      <c r="D23" s="12" t="s">
        <v>33</v>
      </c>
      <c r="E23" s="4" t="s">
        <v>57</v>
      </c>
    </row>
    <row r="24" spans="1:5" x14ac:dyDescent="0.25">
      <c r="A24" s="19"/>
      <c r="B24" s="4" t="s">
        <v>5</v>
      </c>
      <c r="C24" s="4" t="s">
        <v>42</v>
      </c>
      <c r="D24" s="11" t="s">
        <v>32</v>
      </c>
      <c r="E24" s="4" t="s">
        <v>55</v>
      </c>
    </row>
    <row r="25" spans="1:5" x14ac:dyDescent="0.25">
      <c r="A25" s="19"/>
      <c r="B25" s="4" t="s">
        <v>5</v>
      </c>
      <c r="C25" s="4" t="s">
        <v>43</v>
      </c>
      <c r="D25" s="12" t="s">
        <v>33</v>
      </c>
      <c r="E25" s="4" t="s">
        <v>56</v>
      </c>
    </row>
    <row r="26" spans="1:5" x14ac:dyDescent="0.25">
      <c r="A26" s="19" t="s">
        <v>105</v>
      </c>
      <c r="B26" t="s">
        <v>31</v>
      </c>
      <c r="C26" t="s">
        <v>41</v>
      </c>
      <c r="D26" s="1" t="s">
        <v>32</v>
      </c>
      <c r="E26" t="s">
        <v>55</v>
      </c>
    </row>
    <row r="27" spans="1:5" x14ac:dyDescent="0.25">
      <c r="A27" s="19"/>
      <c r="B27" s="4" t="s">
        <v>5</v>
      </c>
      <c r="C27" s="4" t="s">
        <v>44</v>
      </c>
      <c r="D27" s="11" t="s">
        <v>32</v>
      </c>
      <c r="E27" s="4" t="s">
        <v>54</v>
      </c>
    </row>
    <row r="28" spans="1:5" x14ac:dyDescent="0.25">
      <c r="A28" s="19"/>
      <c r="B28" s="4" t="s">
        <v>5</v>
      </c>
      <c r="C28" s="4" t="s">
        <v>74</v>
      </c>
      <c r="D28" s="11" t="s">
        <v>32</v>
      </c>
      <c r="E28" s="4" t="s">
        <v>53</v>
      </c>
    </row>
    <row r="29" spans="1:5" x14ac:dyDescent="0.25">
      <c r="A29" s="19" t="s">
        <v>106</v>
      </c>
      <c r="B29" s="4" t="s">
        <v>15</v>
      </c>
      <c r="C29" s="4" t="s">
        <v>75</v>
      </c>
      <c r="D29" s="12" t="s">
        <v>33</v>
      </c>
      <c r="E29" s="4" t="s">
        <v>52</v>
      </c>
    </row>
    <row r="30" spans="1:5" x14ac:dyDescent="0.25">
      <c r="A30" s="19"/>
      <c r="B30" s="4" t="s">
        <v>15</v>
      </c>
      <c r="C30" s="4" t="s">
        <v>75</v>
      </c>
      <c r="D30" s="11" t="s">
        <v>32</v>
      </c>
      <c r="E30" s="4" t="s">
        <v>51</v>
      </c>
    </row>
    <row r="31" spans="1:5" x14ac:dyDescent="0.25">
      <c r="A31" s="19" t="s">
        <v>107</v>
      </c>
      <c r="B31" s="4" t="s">
        <v>1</v>
      </c>
      <c r="C31" s="4" t="s">
        <v>76</v>
      </c>
      <c r="D31" s="12" t="s">
        <v>33</v>
      </c>
      <c r="E31" s="4" t="s">
        <v>45</v>
      </c>
    </row>
    <row r="32" spans="1:5" x14ac:dyDescent="0.25">
      <c r="A32" s="19" t="s">
        <v>108</v>
      </c>
      <c r="B32" s="4" t="s">
        <v>15</v>
      </c>
      <c r="C32" s="4" t="s">
        <v>77</v>
      </c>
      <c r="D32" s="11" t="s">
        <v>32</v>
      </c>
      <c r="E32" s="4" t="s">
        <v>82</v>
      </c>
    </row>
    <row r="33" spans="1:5" x14ac:dyDescent="0.25">
      <c r="A33" s="19"/>
      <c r="B33" s="4" t="s">
        <v>15</v>
      </c>
      <c r="C33" s="4" t="s">
        <v>78</v>
      </c>
      <c r="D33" s="11" t="s">
        <v>32</v>
      </c>
      <c r="E33" s="4" t="s">
        <v>55</v>
      </c>
    </row>
    <row r="34" spans="1:5" x14ac:dyDescent="0.25">
      <c r="A34" s="19"/>
      <c r="B34" s="4" t="s">
        <v>15</v>
      </c>
      <c r="C34" s="4" t="s">
        <v>79</v>
      </c>
      <c r="D34" s="12" t="s">
        <v>33</v>
      </c>
      <c r="E34" s="4" t="s">
        <v>80</v>
      </c>
    </row>
    <row r="35" spans="1:5" x14ac:dyDescent="0.25">
      <c r="A35" s="19" t="s">
        <v>109</v>
      </c>
      <c r="B35" s="4" t="s">
        <v>15</v>
      </c>
      <c r="C35" s="4" t="s">
        <v>79</v>
      </c>
      <c r="D35" s="11" t="s">
        <v>32</v>
      </c>
      <c r="E35" s="4" t="s">
        <v>81</v>
      </c>
    </row>
    <row r="36" spans="1:5" x14ac:dyDescent="0.25">
      <c r="A36" s="19"/>
      <c r="B36" s="4" t="s">
        <v>14</v>
      </c>
      <c r="C36" s="4" t="s">
        <v>83</v>
      </c>
      <c r="D36" s="11" t="s">
        <v>32</v>
      </c>
      <c r="E36" s="4" t="s">
        <v>113</v>
      </c>
    </row>
    <row r="37" spans="1:5" x14ac:dyDescent="0.25">
      <c r="A37" s="19" t="s">
        <v>111</v>
      </c>
      <c r="B37" s="4" t="s">
        <v>14</v>
      </c>
      <c r="C37" s="4" t="s">
        <v>83</v>
      </c>
      <c r="D37" s="11" t="s">
        <v>32</v>
      </c>
      <c r="E37" s="4" t="s">
        <v>114</v>
      </c>
    </row>
    <row r="38" spans="1:5" ht="30" x14ac:dyDescent="0.25">
      <c r="A38" s="55" t="s">
        <v>144</v>
      </c>
      <c r="B38" s="56" t="s">
        <v>31</v>
      </c>
      <c r="C38" s="56" t="s">
        <v>147</v>
      </c>
      <c r="D38" s="57" t="s">
        <v>33</v>
      </c>
      <c r="E38" s="58" t="s">
        <v>145</v>
      </c>
    </row>
    <row r="39" spans="1:5" x14ac:dyDescent="0.25">
      <c r="A39" s="19" t="s">
        <v>150</v>
      </c>
      <c r="B39" s="4" t="s">
        <v>31</v>
      </c>
      <c r="C39" s="4" t="s">
        <v>146</v>
      </c>
      <c r="D39" s="12" t="s">
        <v>33</v>
      </c>
      <c r="E39" s="4" t="s">
        <v>148</v>
      </c>
    </row>
    <row r="40" spans="1:5" x14ac:dyDescent="0.25">
      <c r="A40" s="19"/>
      <c r="B40" s="4" t="s">
        <v>31</v>
      </c>
      <c r="C40" s="4" t="s">
        <v>149</v>
      </c>
      <c r="D40" s="11" t="s">
        <v>32</v>
      </c>
      <c r="E40" s="4" t="s">
        <v>55</v>
      </c>
    </row>
    <row r="41" spans="1:5" x14ac:dyDescent="0.25">
      <c r="A41" s="19"/>
      <c r="B41" s="4"/>
      <c r="C41" s="4"/>
      <c r="D41" s="4"/>
      <c r="E41" s="4"/>
    </row>
    <row r="42" spans="1:5" x14ac:dyDescent="0.25">
      <c r="A42" s="19"/>
      <c r="B42" s="4"/>
      <c r="C42" s="4"/>
      <c r="D42" s="4"/>
      <c r="E42" s="4"/>
    </row>
    <row r="43" spans="1:5" x14ac:dyDescent="0.25">
      <c r="A43" s="19"/>
      <c r="B43" s="4"/>
      <c r="C43" s="4"/>
      <c r="D43" s="4"/>
      <c r="E43" s="4"/>
    </row>
    <row r="44" spans="1:5" x14ac:dyDescent="0.25">
      <c r="A44" s="19"/>
      <c r="B44" s="4"/>
      <c r="C44" s="4"/>
      <c r="D44" s="4"/>
      <c r="E44" s="4"/>
    </row>
    <row r="45" spans="1:5" x14ac:dyDescent="0.25">
      <c r="A45" s="20"/>
      <c r="B45" s="4"/>
      <c r="C45" s="4"/>
      <c r="D45" s="4"/>
      <c r="E45" s="4"/>
    </row>
    <row r="46" spans="1:5" x14ac:dyDescent="0.25">
      <c r="A46" s="20"/>
      <c r="B46" s="4"/>
      <c r="C46" s="4"/>
      <c r="D46" s="4"/>
      <c r="E46" s="4"/>
    </row>
    <row r="47" spans="1:5" x14ac:dyDescent="0.25">
      <c r="A47" s="20"/>
      <c r="B47" s="4"/>
      <c r="C47" s="4"/>
      <c r="D47" s="4"/>
      <c r="E47" s="4"/>
    </row>
    <row r="48" spans="1:5" x14ac:dyDescent="0.25">
      <c r="A48" s="20"/>
      <c r="B48" s="4"/>
      <c r="C48" s="4"/>
      <c r="D48" s="4"/>
      <c r="E48" s="4"/>
    </row>
    <row r="49" spans="1:5" x14ac:dyDescent="0.25">
      <c r="A49" s="20"/>
      <c r="B49" s="4"/>
      <c r="C49" s="4"/>
      <c r="D49" s="4"/>
      <c r="E49" s="4"/>
    </row>
    <row r="50" spans="1:5" x14ac:dyDescent="0.25">
      <c r="A50" s="20"/>
      <c r="B50" s="4"/>
      <c r="C50" s="4"/>
      <c r="D50" s="4"/>
      <c r="E50" s="4"/>
    </row>
    <row r="51" spans="1:5" x14ac:dyDescent="0.25">
      <c r="A51" s="20"/>
      <c r="B51" s="4"/>
      <c r="C51" s="4"/>
      <c r="D51" s="4"/>
      <c r="E51" s="4"/>
    </row>
    <row r="52" spans="1:5" x14ac:dyDescent="0.25">
      <c r="A52" s="20"/>
      <c r="B52" s="4"/>
      <c r="C52" s="4"/>
      <c r="D52" s="4"/>
      <c r="E52" s="4"/>
    </row>
    <row r="53" spans="1:5" x14ac:dyDescent="0.25">
      <c r="A53" s="20"/>
      <c r="B53" s="4"/>
      <c r="C53" s="4"/>
      <c r="D53" s="4"/>
      <c r="E53" s="4"/>
    </row>
    <row r="54" spans="1:5" x14ac:dyDescent="0.25">
      <c r="A54" s="20"/>
      <c r="B54" s="4"/>
      <c r="C54" s="4"/>
      <c r="D54" s="4"/>
      <c r="E54" s="4"/>
    </row>
    <row r="55" spans="1:5" x14ac:dyDescent="0.25">
      <c r="A55" s="20"/>
      <c r="B55" s="4"/>
      <c r="C55" s="4"/>
      <c r="D55" s="4"/>
      <c r="E55" s="4"/>
    </row>
    <row r="56" spans="1:5" x14ac:dyDescent="0.25">
      <c r="A56" s="20"/>
      <c r="B56" s="4"/>
      <c r="C56" s="4"/>
      <c r="D56" s="4"/>
      <c r="E56" s="4"/>
    </row>
    <row r="57" spans="1:5" x14ac:dyDescent="0.25">
      <c r="A57" s="20"/>
      <c r="B57" s="4"/>
      <c r="C57" s="4"/>
      <c r="D57" s="4"/>
      <c r="E57" s="4"/>
    </row>
    <row r="58" spans="1:5" x14ac:dyDescent="0.25">
      <c r="A58" s="20"/>
      <c r="B58" s="4"/>
      <c r="C58" s="4"/>
      <c r="D58" s="4"/>
      <c r="E58" s="4"/>
    </row>
    <row r="59" spans="1:5" x14ac:dyDescent="0.25">
      <c r="A59" s="20"/>
      <c r="B59" s="4"/>
      <c r="C59" s="4"/>
      <c r="D59" s="4"/>
      <c r="E59" s="4"/>
    </row>
    <row r="60" spans="1:5" x14ac:dyDescent="0.25">
      <c r="A60" s="20"/>
      <c r="B60" s="4"/>
      <c r="C60" s="4"/>
      <c r="D60" s="4"/>
      <c r="E60" s="4"/>
    </row>
    <row r="61" spans="1:5" x14ac:dyDescent="0.25">
      <c r="A61" s="20"/>
      <c r="B61" s="4"/>
      <c r="C61" s="4"/>
      <c r="D61" s="4"/>
      <c r="E61" s="4"/>
    </row>
    <row r="62" spans="1:5" x14ac:dyDescent="0.25">
      <c r="A62" s="20"/>
      <c r="B62" s="4"/>
      <c r="C62" s="4"/>
      <c r="D62" s="4"/>
      <c r="E62" s="4"/>
    </row>
    <row r="63" spans="1:5" x14ac:dyDescent="0.25">
      <c r="A63" s="20"/>
      <c r="B63" s="4"/>
      <c r="C63" s="4"/>
      <c r="D63" s="4"/>
      <c r="E63" s="4"/>
    </row>
    <row r="64" spans="1:5" x14ac:dyDescent="0.25">
      <c r="A64" s="20"/>
      <c r="B64" s="4"/>
      <c r="C64" s="4"/>
      <c r="D64" s="4"/>
      <c r="E64" s="4"/>
    </row>
    <row r="65" spans="1:5" x14ac:dyDescent="0.25">
      <c r="A65" s="20"/>
      <c r="B65" s="4"/>
      <c r="C65" s="4"/>
      <c r="D65" s="4"/>
      <c r="E65" s="4"/>
    </row>
    <row r="66" spans="1:5" x14ac:dyDescent="0.25">
      <c r="A66" s="20"/>
      <c r="B66" s="4"/>
      <c r="C66" s="4"/>
      <c r="D66" s="4"/>
      <c r="E66" s="4"/>
    </row>
    <row r="67" spans="1:5" x14ac:dyDescent="0.25">
      <c r="A67" s="20"/>
      <c r="B67" s="4"/>
      <c r="C67" s="4"/>
      <c r="D67" s="4"/>
      <c r="E67" s="4"/>
    </row>
    <row r="68" spans="1:5" x14ac:dyDescent="0.25">
      <c r="A68" s="20"/>
      <c r="B68" s="4"/>
      <c r="C68" s="4"/>
      <c r="D68" s="4"/>
      <c r="E68" s="4"/>
    </row>
    <row r="69" spans="1:5" x14ac:dyDescent="0.25">
      <c r="A69" s="20"/>
      <c r="B69" s="4"/>
      <c r="C69" s="4"/>
      <c r="D69" s="4"/>
      <c r="E69" s="4"/>
    </row>
    <row r="70" spans="1:5" x14ac:dyDescent="0.25">
      <c r="A70" s="20"/>
      <c r="B70" s="4"/>
      <c r="C70" s="4"/>
      <c r="D70" s="4"/>
      <c r="E70" s="4"/>
    </row>
    <row r="71" spans="1:5" x14ac:dyDescent="0.25">
      <c r="A71" s="20"/>
      <c r="B71" s="4"/>
      <c r="C71" s="4"/>
      <c r="D71" s="4"/>
      <c r="E71" s="4"/>
    </row>
    <row r="72" spans="1:5" x14ac:dyDescent="0.25">
      <c r="A72" s="20"/>
      <c r="B72" s="4"/>
      <c r="C72" s="4"/>
      <c r="D72" s="4"/>
      <c r="E72" s="4"/>
    </row>
    <row r="73" spans="1:5" x14ac:dyDescent="0.25">
      <c r="A73" s="20"/>
      <c r="B73" s="4"/>
      <c r="C73" s="4"/>
      <c r="D73" s="4"/>
      <c r="E73" s="4"/>
    </row>
    <row r="74" spans="1:5" x14ac:dyDescent="0.25">
      <c r="A74" s="20"/>
      <c r="B74" s="4"/>
      <c r="C74" s="4"/>
      <c r="D74" s="4"/>
      <c r="E74" s="4"/>
    </row>
    <row r="75" spans="1:5" x14ac:dyDescent="0.25">
      <c r="A75" s="20"/>
      <c r="B75" s="4"/>
      <c r="C75" s="4"/>
      <c r="D75" s="4"/>
      <c r="E75" s="4"/>
    </row>
    <row r="76" spans="1:5" x14ac:dyDescent="0.25">
      <c r="A76" s="20"/>
      <c r="B76" s="4"/>
      <c r="C76" s="4"/>
      <c r="D76" s="4"/>
      <c r="E76" s="4"/>
    </row>
    <row r="77" spans="1:5" x14ac:dyDescent="0.25">
      <c r="A77" s="20"/>
      <c r="B77" s="4"/>
      <c r="C77" s="4"/>
      <c r="D77" s="4"/>
      <c r="E77" s="4"/>
    </row>
    <row r="78" spans="1:5" x14ac:dyDescent="0.25">
      <c r="A78" s="20"/>
      <c r="B78" s="4"/>
      <c r="C78" s="4"/>
      <c r="D78" s="4"/>
      <c r="E78" s="4"/>
    </row>
    <row r="79" spans="1:5" x14ac:dyDescent="0.25">
      <c r="A79" s="20"/>
      <c r="B79" s="4"/>
      <c r="C79" s="4"/>
      <c r="D79" s="4"/>
      <c r="E79" s="4"/>
    </row>
    <row r="80" spans="1:5" x14ac:dyDescent="0.25">
      <c r="A80" s="20"/>
      <c r="B80" s="4"/>
      <c r="C80" s="4"/>
      <c r="D80" s="4"/>
      <c r="E80" s="4"/>
    </row>
    <row r="81" spans="1:5" x14ac:dyDescent="0.25">
      <c r="A81" s="20"/>
      <c r="B81" s="4"/>
      <c r="C81" s="4"/>
      <c r="D81" s="4"/>
      <c r="E81" s="4"/>
    </row>
    <row r="82" spans="1:5" x14ac:dyDescent="0.25">
      <c r="A82" s="20"/>
      <c r="B82" s="4"/>
      <c r="C82" s="4"/>
      <c r="D82" s="4"/>
      <c r="E82" s="4"/>
    </row>
    <row r="83" spans="1:5" x14ac:dyDescent="0.25">
      <c r="A83" s="20"/>
      <c r="B83" s="4"/>
      <c r="C83" s="4"/>
      <c r="D83" s="4"/>
      <c r="E83" s="4"/>
    </row>
    <row r="84" spans="1:5" x14ac:dyDescent="0.25">
      <c r="A84" s="20"/>
      <c r="B84" s="4"/>
      <c r="C84" s="4"/>
      <c r="D84" s="4"/>
      <c r="E84" s="4"/>
    </row>
    <row r="85" spans="1:5" x14ac:dyDescent="0.25">
      <c r="A85" s="20"/>
      <c r="B85" s="4"/>
      <c r="C85" s="4"/>
      <c r="D85" s="4"/>
      <c r="E85" s="4"/>
    </row>
    <row r="86" spans="1:5" x14ac:dyDescent="0.25">
      <c r="A86" s="20"/>
      <c r="B86" s="4"/>
      <c r="C86" s="4"/>
      <c r="D86" s="4"/>
      <c r="E86" s="4"/>
    </row>
    <row r="87" spans="1:5" x14ac:dyDescent="0.25">
      <c r="A87" s="20"/>
      <c r="B87" s="4"/>
      <c r="C87" s="4"/>
      <c r="D87" s="4"/>
      <c r="E87" s="4"/>
    </row>
    <row r="88" spans="1:5" x14ac:dyDescent="0.25">
      <c r="A88" s="20"/>
      <c r="B88" s="4"/>
      <c r="C88" s="4"/>
      <c r="D88" s="4"/>
      <c r="E88" s="4"/>
    </row>
    <row r="89" spans="1:5" x14ac:dyDescent="0.25">
      <c r="A89" s="20"/>
      <c r="B89" s="4"/>
      <c r="C89" s="4"/>
      <c r="D89" s="4"/>
      <c r="E89" s="4"/>
    </row>
    <row r="90" spans="1:5" x14ac:dyDescent="0.25">
      <c r="A90" s="20"/>
      <c r="B90" s="4"/>
      <c r="C90" s="4"/>
      <c r="D90" s="4"/>
      <c r="E90" s="4"/>
    </row>
    <row r="91" spans="1:5" x14ac:dyDescent="0.25">
      <c r="A91" s="20"/>
      <c r="B91" s="4"/>
      <c r="C91" s="4"/>
      <c r="D91" s="4"/>
      <c r="E91" s="4"/>
    </row>
    <row r="92" spans="1:5" x14ac:dyDescent="0.25">
      <c r="A92" s="20"/>
      <c r="B92" s="4"/>
      <c r="C92" s="4"/>
      <c r="D92" s="4"/>
      <c r="E92" s="4"/>
    </row>
    <row r="93" spans="1:5" x14ac:dyDescent="0.25">
      <c r="A93" s="20"/>
      <c r="B93" s="4"/>
      <c r="C93" s="4"/>
      <c r="D93" s="4"/>
      <c r="E93" s="4"/>
    </row>
    <row r="94" spans="1:5" x14ac:dyDescent="0.25">
      <c r="A94" s="20"/>
      <c r="B94" s="4"/>
      <c r="C94" s="4"/>
      <c r="D94" s="4"/>
      <c r="E94" s="4"/>
    </row>
    <row r="95" spans="1:5" x14ac:dyDescent="0.25">
      <c r="A95" s="20"/>
      <c r="B95" s="4"/>
      <c r="C95" s="4"/>
      <c r="D95" s="4"/>
      <c r="E95" s="4"/>
    </row>
    <row r="96" spans="1:5" x14ac:dyDescent="0.25">
      <c r="A96" s="20"/>
      <c r="B96" s="4"/>
      <c r="C96" s="4"/>
      <c r="D96" s="4"/>
      <c r="E96" s="4"/>
    </row>
    <row r="97" spans="1:5" x14ac:dyDescent="0.25">
      <c r="A97" s="20"/>
      <c r="B97" s="4"/>
      <c r="C97" s="4"/>
      <c r="D97" s="4"/>
      <c r="E97" s="4"/>
    </row>
    <row r="98" spans="1:5" x14ac:dyDescent="0.25">
      <c r="A98" s="20"/>
      <c r="B98" s="4"/>
      <c r="C98" s="4"/>
      <c r="D98" s="4"/>
      <c r="E98" s="4"/>
    </row>
    <row r="99" spans="1:5" x14ac:dyDescent="0.25">
      <c r="A99" s="20"/>
      <c r="B99" s="4"/>
      <c r="C99" s="4"/>
      <c r="D99" s="4"/>
      <c r="E99" s="4"/>
    </row>
    <row r="100" spans="1:5" x14ac:dyDescent="0.25">
      <c r="A100" s="20"/>
      <c r="B100" s="4"/>
      <c r="C100" s="4"/>
      <c r="D100" s="4"/>
      <c r="E100" s="4"/>
    </row>
    <row r="101" spans="1:5" x14ac:dyDescent="0.25">
      <c r="A101" s="20"/>
      <c r="B101" s="4"/>
      <c r="C101" s="4"/>
      <c r="D101" s="4"/>
      <c r="E101" s="4"/>
    </row>
    <row r="102" spans="1:5" x14ac:dyDescent="0.25">
      <c r="A102" s="20"/>
      <c r="B102" s="4"/>
      <c r="C102" s="4"/>
      <c r="D102" s="4"/>
      <c r="E102" s="4"/>
    </row>
    <row r="103" spans="1:5" x14ac:dyDescent="0.25">
      <c r="A103" s="20"/>
      <c r="B103" s="4"/>
      <c r="C103" s="4"/>
      <c r="D103" s="4"/>
      <c r="E103" s="4"/>
    </row>
    <row r="104" spans="1:5" x14ac:dyDescent="0.25">
      <c r="A104" s="20"/>
      <c r="B104" s="4"/>
      <c r="C104" s="4"/>
      <c r="D104" s="4"/>
      <c r="E104" s="4"/>
    </row>
    <row r="105" spans="1:5" x14ac:dyDescent="0.25">
      <c r="A105" s="20"/>
      <c r="B105" s="4"/>
      <c r="C105" s="4"/>
      <c r="D105" s="4"/>
      <c r="E105" s="4"/>
    </row>
    <row r="106" spans="1:5" x14ac:dyDescent="0.25">
      <c r="A106" s="20"/>
      <c r="B106" s="4"/>
      <c r="C106" s="4"/>
      <c r="D106" s="4"/>
      <c r="E106" s="4"/>
    </row>
    <row r="107" spans="1:5" x14ac:dyDescent="0.25">
      <c r="A107" s="20"/>
      <c r="B107" s="4"/>
      <c r="C107" s="4"/>
      <c r="D107" s="4"/>
      <c r="E107" s="4"/>
    </row>
    <row r="108" spans="1:5" x14ac:dyDescent="0.25">
      <c r="A108" s="20"/>
      <c r="B108" s="4"/>
      <c r="C108" s="4"/>
      <c r="D108" s="4"/>
      <c r="E108" s="4"/>
    </row>
    <row r="109" spans="1:5" x14ac:dyDescent="0.25">
      <c r="A109" s="20"/>
      <c r="B109" s="4"/>
      <c r="C109" s="4"/>
      <c r="D109" s="4"/>
      <c r="E109" s="4"/>
    </row>
    <row r="110" spans="1:5" x14ac:dyDescent="0.25">
      <c r="A110" s="20"/>
      <c r="B110" s="4"/>
      <c r="C110" s="4"/>
      <c r="D110" s="4"/>
      <c r="E110" s="4"/>
    </row>
    <row r="111" spans="1:5" x14ac:dyDescent="0.25">
      <c r="A111" s="20"/>
      <c r="B111" s="4"/>
      <c r="C111" s="4"/>
      <c r="D111" s="4"/>
      <c r="E111" s="4"/>
    </row>
    <row r="112" spans="1:5" x14ac:dyDescent="0.25">
      <c r="A112" s="20"/>
      <c r="B112" s="4"/>
      <c r="C112" s="4"/>
      <c r="D112" s="4"/>
      <c r="E112" s="4"/>
    </row>
    <row r="113" spans="1:5" x14ac:dyDescent="0.25">
      <c r="A113" s="2"/>
      <c r="B113" s="2"/>
      <c r="C113" s="2"/>
      <c r="D113" s="2"/>
      <c r="E113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95FF81-7450-4C79-896C-13771737B2CB}">
          <x14:formula1>
            <xm:f>'Project Backlog'!$A$2:$A$40</xm:f>
          </x14:formula1>
          <xm:sqref>B27:B344 B2:B25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C298-346E-4EDA-9D1E-1E6625626F2E}">
  <dimension ref="A1:U26"/>
  <sheetViews>
    <sheetView zoomScale="90" zoomScaleNormal="90" workbookViewId="0">
      <selection activeCell="B27" sqref="B27"/>
    </sheetView>
  </sheetViews>
  <sheetFormatPr defaultRowHeight="15" x14ac:dyDescent="0.25"/>
  <cols>
    <col min="1" max="1" width="14.28515625" bestFit="1" customWidth="1"/>
    <col min="2" max="2" width="57.28515625" bestFit="1" customWidth="1"/>
    <col min="3" max="3" width="28.28515625" bestFit="1" customWidth="1"/>
    <col min="4" max="4" width="28.28515625" customWidth="1"/>
  </cols>
  <sheetData>
    <row r="1" spans="1:21" x14ac:dyDescent="0.25">
      <c r="A1" s="61" t="s">
        <v>121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1:21" x14ac:dyDescent="0.25">
      <c r="A2" s="21" t="s">
        <v>21</v>
      </c>
      <c r="B2" s="23" t="s">
        <v>87</v>
      </c>
      <c r="C2" s="17" t="s">
        <v>91</v>
      </c>
      <c r="D2" s="17" t="s">
        <v>92</v>
      </c>
      <c r="E2" s="62" t="s">
        <v>88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3" spans="1:21" x14ac:dyDescent="0.25">
      <c r="A3" s="22" t="s">
        <v>111</v>
      </c>
      <c r="B3" s="24" t="s">
        <v>93</v>
      </c>
      <c r="C3" s="26" t="s">
        <v>32</v>
      </c>
      <c r="D3" s="26" t="s">
        <v>32</v>
      </c>
      <c r="E3" s="15" t="s">
        <v>84</v>
      </c>
      <c r="F3" s="15" t="s">
        <v>85</v>
      </c>
      <c r="G3" s="15" t="s">
        <v>86</v>
      </c>
      <c r="I3" s="3">
        <f>COS(RADIANS(G4))</f>
        <v>0.70710678118654757</v>
      </c>
      <c r="J3" s="3">
        <f>-SIN(RADIANS(G4))</f>
        <v>-0.70710678118654746</v>
      </c>
      <c r="K3" s="3">
        <v>0</v>
      </c>
      <c r="M3" s="59" t="s">
        <v>89</v>
      </c>
      <c r="N3" s="60"/>
      <c r="O3" s="59" t="s">
        <v>90</v>
      </c>
      <c r="P3" s="59"/>
    </row>
    <row r="4" spans="1:21" x14ac:dyDescent="0.25">
      <c r="A4" s="27"/>
      <c r="B4" s="30"/>
      <c r="C4" s="30"/>
      <c r="D4" s="30"/>
      <c r="E4" s="4">
        <v>-0.17499999999999999</v>
      </c>
      <c r="F4" s="4">
        <v>-0.2</v>
      </c>
      <c r="G4" s="4">
        <v>45</v>
      </c>
      <c r="I4" s="4">
        <f>SIN(RADIANS(G4))</f>
        <v>0.70710678118654746</v>
      </c>
      <c r="J4" s="4">
        <f>I3</f>
        <v>0.70710678118654757</v>
      </c>
      <c r="K4" s="4">
        <v>0</v>
      </c>
      <c r="M4" s="4">
        <f>E4*I$3-F4*J$3</f>
        <v>-0.26516504294495535</v>
      </c>
      <c r="N4" s="16">
        <f>E4*J$3+F4*I$3</f>
        <v>-1.7677669529663737E-2</v>
      </c>
      <c r="O4" s="4">
        <v>-0.26517000000000002</v>
      </c>
      <c r="P4" s="4">
        <v>-1.7680000000000001E-2</v>
      </c>
    </row>
    <row r="5" spans="1:21" x14ac:dyDescent="0.25">
      <c r="A5" s="28"/>
      <c r="B5" s="31"/>
      <c r="C5" s="31"/>
      <c r="D5" s="31"/>
      <c r="E5" s="4">
        <v>-0.17499999999999999</v>
      </c>
      <c r="F5" s="4">
        <v>0.2</v>
      </c>
      <c r="G5" s="4"/>
      <c r="I5" s="4">
        <v>0</v>
      </c>
      <c r="J5" s="4">
        <v>0</v>
      </c>
      <c r="K5" s="4">
        <v>1</v>
      </c>
      <c r="M5" s="4">
        <f>E5*I$3-F5*J$3</f>
        <v>1.7677669529663681E-2</v>
      </c>
      <c r="N5" s="16">
        <f>E5*J$3+F5*I$3</f>
        <v>0.26516504294495535</v>
      </c>
      <c r="O5" s="4">
        <v>1.7677999999999999E-2</v>
      </c>
      <c r="P5" s="4">
        <v>0.26516499999999998</v>
      </c>
    </row>
    <row r="6" spans="1:21" x14ac:dyDescent="0.25">
      <c r="A6" s="28"/>
      <c r="B6" s="31"/>
      <c r="C6" s="31"/>
      <c r="D6" s="31"/>
      <c r="E6" s="4">
        <v>0.17499999999999999</v>
      </c>
      <c r="F6" s="4">
        <v>-0.2</v>
      </c>
      <c r="G6" s="4"/>
      <c r="M6" s="4">
        <f>E6*I$3-F6*J$3</f>
        <v>-1.7677669529663681E-2</v>
      </c>
      <c r="N6" s="16">
        <f>E6*J$3+F6*I$3</f>
        <v>-0.26516504294495535</v>
      </c>
      <c r="O6" s="4">
        <v>-1.7680000000000001E-2</v>
      </c>
      <c r="P6" s="4">
        <v>0.26517000000000002</v>
      </c>
    </row>
    <row r="7" spans="1:21" x14ac:dyDescent="0.25">
      <c r="A7" s="28"/>
      <c r="B7" s="31"/>
      <c r="C7" s="31"/>
      <c r="D7" s="31"/>
      <c r="E7" s="4">
        <v>0.17499999999999999</v>
      </c>
      <c r="F7" s="4">
        <v>0.2</v>
      </c>
      <c r="G7" s="4"/>
      <c r="M7" s="4">
        <f>E7*I$3-F7*J$3</f>
        <v>0.26516504294495535</v>
      </c>
      <c r="N7" s="16">
        <f>E7*J$3+F7*I$3</f>
        <v>1.7677669529663737E-2</v>
      </c>
      <c r="O7" s="4">
        <v>0.26516499999999998</v>
      </c>
      <c r="P7" s="4">
        <v>1.7677999999999999E-2</v>
      </c>
    </row>
    <row r="8" spans="1:21" x14ac:dyDescent="0.25">
      <c r="A8" s="28"/>
      <c r="B8" s="31"/>
      <c r="C8" s="31"/>
      <c r="D8" s="31"/>
    </row>
    <row r="9" spans="1:21" x14ac:dyDescent="0.25">
      <c r="A9" s="28"/>
      <c r="B9" s="31"/>
      <c r="C9" s="31"/>
      <c r="D9" s="31"/>
    </row>
    <row r="10" spans="1:21" x14ac:dyDescent="0.25">
      <c r="A10" s="28"/>
      <c r="B10" s="31"/>
      <c r="C10" s="31"/>
      <c r="D10" s="31"/>
    </row>
    <row r="11" spans="1:21" x14ac:dyDescent="0.25">
      <c r="A11" s="28"/>
      <c r="B11" s="31"/>
      <c r="C11" s="31"/>
      <c r="D11" s="31"/>
    </row>
    <row r="12" spans="1:21" x14ac:dyDescent="0.25">
      <c r="A12" s="28"/>
      <c r="B12" s="31"/>
      <c r="C12" s="31"/>
      <c r="D12" s="31"/>
    </row>
    <row r="13" spans="1:21" x14ac:dyDescent="0.25">
      <c r="A13" s="28"/>
      <c r="B13" s="31"/>
      <c r="C13" s="31"/>
      <c r="D13" s="31"/>
    </row>
    <row r="14" spans="1:21" x14ac:dyDescent="0.25">
      <c r="A14" s="28"/>
      <c r="B14" s="31"/>
      <c r="C14" s="31"/>
      <c r="D14" s="31"/>
    </row>
    <row r="15" spans="1:21" x14ac:dyDescent="0.25">
      <c r="A15" s="28"/>
      <c r="B15" s="31"/>
      <c r="C15" s="31"/>
      <c r="D15" s="31"/>
    </row>
    <row r="16" spans="1:21" x14ac:dyDescent="0.25">
      <c r="A16" s="29"/>
      <c r="B16" s="32"/>
      <c r="C16" s="32"/>
      <c r="D16" s="3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16" t="s">
        <v>112</v>
      </c>
      <c r="B17" s="35" t="s">
        <v>115</v>
      </c>
      <c r="C17" s="36" t="s">
        <v>32</v>
      </c>
      <c r="D17" s="39" t="s">
        <v>32</v>
      </c>
      <c r="E17" s="63" t="s">
        <v>126</v>
      </c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</row>
    <row r="18" spans="1:21" x14ac:dyDescent="0.25">
      <c r="A18" s="27"/>
      <c r="B18" s="35" t="s">
        <v>116</v>
      </c>
      <c r="C18" s="36" t="s">
        <v>32</v>
      </c>
      <c r="D18" s="39" t="s">
        <v>32</v>
      </c>
      <c r="E18" s="63" t="s">
        <v>126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</row>
    <row r="19" spans="1:21" x14ac:dyDescent="0.25">
      <c r="A19" s="28"/>
      <c r="B19" s="35" t="s">
        <v>117</v>
      </c>
      <c r="C19" s="36" t="s">
        <v>32</v>
      </c>
      <c r="D19" s="39" t="s">
        <v>32</v>
      </c>
      <c r="E19" s="63" t="s">
        <v>126</v>
      </c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</row>
    <row r="20" spans="1:21" x14ac:dyDescent="0.25">
      <c r="A20" s="28"/>
      <c r="B20" s="35" t="s">
        <v>120</v>
      </c>
      <c r="C20" s="36" t="s">
        <v>32</v>
      </c>
      <c r="D20" s="39" t="s">
        <v>32</v>
      </c>
      <c r="E20" s="63" t="s">
        <v>126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spans="1:21" x14ac:dyDescent="0.25">
      <c r="A21" s="28"/>
      <c r="B21" s="35" t="s">
        <v>122</v>
      </c>
      <c r="C21" s="36" t="s">
        <v>32</v>
      </c>
      <c r="D21" s="39" t="s">
        <v>32</v>
      </c>
      <c r="E21" s="63" t="s">
        <v>126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</row>
    <row r="22" spans="1:21" x14ac:dyDescent="0.25">
      <c r="A22" s="28"/>
      <c r="B22" s="35" t="s">
        <v>119</v>
      </c>
      <c r="C22" s="36" t="s">
        <v>32</v>
      </c>
      <c r="D22" s="39" t="s">
        <v>32</v>
      </c>
      <c r="E22" s="63" t="s">
        <v>126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</row>
    <row r="23" spans="1:21" x14ac:dyDescent="0.25">
      <c r="A23" s="28"/>
      <c r="B23" s="35" t="s">
        <v>118</v>
      </c>
      <c r="C23" s="36" t="s">
        <v>32</v>
      </c>
      <c r="D23" s="39" t="s">
        <v>32</v>
      </c>
      <c r="E23" s="63" t="s">
        <v>126</v>
      </c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</row>
    <row r="24" spans="1:21" x14ac:dyDescent="0.25">
      <c r="A24" s="28"/>
      <c r="B24" s="35" t="s">
        <v>123</v>
      </c>
      <c r="C24" s="36" t="s">
        <v>32</v>
      </c>
      <c r="D24" s="40" t="s">
        <v>33</v>
      </c>
      <c r="E24" s="63" t="s">
        <v>126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</row>
    <row r="25" spans="1:21" x14ac:dyDescent="0.25">
      <c r="A25" s="28"/>
      <c r="B25" s="35" t="s">
        <v>124</v>
      </c>
      <c r="C25" s="36" t="s">
        <v>32</v>
      </c>
      <c r="D25" s="39" t="s">
        <v>32</v>
      </c>
      <c r="E25" s="63" t="s">
        <v>126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</row>
    <row r="26" spans="1:21" x14ac:dyDescent="0.25">
      <c r="A26" s="28"/>
      <c r="B26" s="25" t="s">
        <v>125</v>
      </c>
      <c r="C26" s="26" t="s">
        <v>32</v>
      </c>
      <c r="D26" s="38" t="s">
        <v>32</v>
      </c>
      <c r="E26" s="63" t="s">
        <v>126</v>
      </c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</row>
  </sheetData>
  <mergeCells count="14">
    <mergeCell ref="E23:U23"/>
    <mergeCell ref="E25:U25"/>
    <mergeCell ref="E26:U26"/>
    <mergeCell ref="E24:U24"/>
    <mergeCell ref="E18:U18"/>
    <mergeCell ref="E19:U19"/>
    <mergeCell ref="E20:U20"/>
    <mergeCell ref="E21:U21"/>
    <mergeCell ref="E22:U22"/>
    <mergeCell ref="M3:N3"/>
    <mergeCell ref="O3:P3"/>
    <mergeCell ref="A1:U1"/>
    <mergeCell ref="E2:U2"/>
    <mergeCell ref="E17:U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B297-C602-4262-B86C-2E2EFD2A11A9}">
  <dimension ref="A1:E11"/>
  <sheetViews>
    <sheetView zoomScaleNormal="100" workbookViewId="0">
      <selection activeCell="H4" sqref="H4"/>
    </sheetView>
  </sheetViews>
  <sheetFormatPr defaultRowHeight="15" x14ac:dyDescent="0.25"/>
  <cols>
    <col min="1" max="1" width="12.140625" bestFit="1" customWidth="1"/>
    <col min="2" max="2" width="20.7109375" bestFit="1" customWidth="1"/>
    <col min="3" max="3" width="15.28515625" bestFit="1" customWidth="1"/>
    <col min="4" max="5" width="27.5703125" customWidth="1"/>
  </cols>
  <sheetData>
    <row r="1" spans="1:5" x14ac:dyDescent="0.25">
      <c r="A1" s="42" t="s">
        <v>127</v>
      </c>
      <c r="B1" s="43" t="s">
        <v>128</v>
      </c>
      <c r="C1" s="43" t="s">
        <v>129</v>
      </c>
      <c r="D1" s="44" t="s">
        <v>130</v>
      </c>
      <c r="E1" s="7" t="s">
        <v>131</v>
      </c>
    </row>
    <row r="2" spans="1:5" ht="189" customHeight="1" x14ac:dyDescent="0.25">
      <c r="A2" s="45" t="s">
        <v>132</v>
      </c>
      <c r="B2" s="46"/>
      <c r="C2" s="47" t="s">
        <v>142</v>
      </c>
      <c r="D2" s="37" t="e" vm="1">
        <v>#VALUE!</v>
      </c>
      <c r="E2" s="34"/>
    </row>
    <row r="3" spans="1:5" ht="117.75" customHeight="1" x14ac:dyDescent="0.25">
      <c r="A3" s="48"/>
      <c r="B3" s="49" t="s">
        <v>133</v>
      </c>
      <c r="C3" s="47" t="s">
        <v>142</v>
      </c>
      <c r="D3" s="37" t="e" vm="2">
        <v>#VALUE!</v>
      </c>
      <c r="E3" s="34"/>
    </row>
    <row r="4" spans="1:5" ht="33.75" customHeight="1" x14ac:dyDescent="0.25">
      <c r="A4" s="48"/>
      <c r="B4" s="49" t="s">
        <v>134</v>
      </c>
      <c r="C4" s="47" t="s">
        <v>142</v>
      </c>
      <c r="D4" s="37" t="e" vm="3">
        <v>#VALUE!</v>
      </c>
      <c r="E4" s="34"/>
    </row>
    <row r="5" spans="1:5" ht="35.25" customHeight="1" x14ac:dyDescent="0.25">
      <c r="A5" s="48"/>
      <c r="B5" s="49" t="s">
        <v>135</v>
      </c>
      <c r="C5" s="47" t="s">
        <v>142</v>
      </c>
      <c r="D5" s="37" t="e" vm="4">
        <v>#VALUE!</v>
      </c>
      <c r="E5" s="34"/>
    </row>
    <row r="6" spans="1:5" ht="34.5" customHeight="1" x14ac:dyDescent="0.25">
      <c r="A6" s="45" t="s">
        <v>136</v>
      </c>
      <c r="B6" s="46"/>
      <c r="C6" s="47" t="s">
        <v>142</v>
      </c>
      <c r="D6" s="37" t="e" vm="5">
        <v>#VALUE!</v>
      </c>
      <c r="E6" s="34"/>
    </row>
    <row r="7" spans="1:5" ht="75.75" customHeight="1" x14ac:dyDescent="0.25">
      <c r="A7" s="45" t="s">
        <v>137</v>
      </c>
      <c r="B7" s="46"/>
      <c r="C7" s="47" t="s">
        <v>142</v>
      </c>
      <c r="D7" s="37" t="e" vm="6">
        <v>#VALUE!</v>
      </c>
      <c r="E7" s="34"/>
    </row>
    <row r="8" spans="1:5" ht="374.25" customHeight="1" x14ac:dyDescent="0.25">
      <c r="A8" s="48"/>
      <c r="B8" s="49" t="s">
        <v>138</v>
      </c>
      <c r="C8" s="47" t="s">
        <v>142</v>
      </c>
      <c r="D8" s="37" t="e" vm="7">
        <v>#VALUE!</v>
      </c>
      <c r="E8" s="34"/>
    </row>
    <row r="9" spans="1:5" ht="47.25" customHeight="1" x14ac:dyDescent="0.25">
      <c r="A9" s="45" t="s">
        <v>139</v>
      </c>
      <c r="B9" s="46"/>
      <c r="C9" s="50" t="s">
        <v>143</v>
      </c>
      <c r="D9" s="37" t="e" vm="8">
        <v>#VALUE!</v>
      </c>
      <c r="E9" s="4" t="e" vm="9">
        <v>#VALUE!</v>
      </c>
    </row>
    <row r="10" spans="1:5" ht="47.25" customHeight="1" x14ac:dyDescent="0.25">
      <c r="A10" s="48"/>
      <c r="B10" s="49" t="s">
        <v>140</v>
      </c>
      <c r="C10" s="47" t="s">
        <v>142</v>
      </c>
      <c r="D10" s="37" t="e" vm="10">
        <v>#VALUE!</v>
      </c>
      <c r="E10" s="34"/>
    </row>
    <row r="11" spans="1:5" ht="176.25" customHeight="1" x14ac:dyDescent="0.25">
      <c r="A11" s="51"/>
      <c r="B11" s="52" t="s">
        <v>141</v>
      </c>
      <c r="C11" s="53" t="s">
        <v>142</v>
      </c>
      <c r="D11" s="54" t="e" vm="11">
        <v>#VALUE!</v>
      </c>
      <c r="E11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Backlog</vt:lpstr>
      <vt:lpstr>Velocity</vt:lpstr>
      <vt:lpstr>Continuous Testing</vt:lpstr>
      <vt:lpstr>Whitebox Testing</vt:lpstr>
      <vt:lpstr>Alignment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Tebbutt</dc:creator>
  <cp:lastModifiedBy>James Tebbutt</cp:lastModifiedBy>
  <dcterms:created xsi:type="dcterms:W3CDTF">2015-06-05T18:17:20Z</dcterms:created>
  <dcterms:modified xsi:type="dcterms:W3CDTF">2026-06-01T13:12:00Z</dcterms:modified>
</cp:coreProperties>
</file>